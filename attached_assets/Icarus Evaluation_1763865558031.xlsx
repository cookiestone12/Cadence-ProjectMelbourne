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scorn/Downloads/"/>
    </mc:Choice>
  </mc:AlternateContent>
  <xr:revisionPtr revIDLastSave="0" documentId="8_{B7A1F7E1-104B-6140-AC18-A7E220D90894}" xr6:coauthVersionLast="47" xr6:coauthVersionMax="47" xr10:uidLastSave="{00000000-0000-0000-0000-000000000000}"/>
  <bookViews>
    <workbookView xWindow="40" yWindow="760" windowWidth="30240" windowHeight="18880" xr2:uid="{00000000-000D-0000-FFFF-FFFF00000000}"/>
  </bookViews>
  <sheets>
    <sheet name="Top Related Record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M12" i="1"/>
  <c r="L13" i="1"/>
  <c r="M13" i="1"/>
  <c r="M11" i="1"/>
  <c r="L11" i="1"/>
  <c r="M3" i="1"/>
  <c r="M4" i="1"/>
  <c r="M5" i="1"/>
  <c r="M6" i="1"/>
  <c r="M7" i="1"/>
  <c r="M8" i="1"/>
  <c r="M9" i="1"/>
  <c r="M2" i="1"/>
  <c r="L3" i="1"/>
  <c r="L4" i="1"/>
  <c r="L5" i="1"/>
  <c r="L6" i="1"/>
  <c r="L7" i="1"/>
  <c r="L8" i="1"/>
  <c r="L9" i="1"/>
  <c r="L2" i="1"/>
  <c r="M10" i="1" l="1"/>
  <c r="L10" i="1"/>
</calcChain>
</file>

<file path=xl/sharedStrings.xml><?xml version="1.0" encoding="utf-8"?>
<sst xmlns="http://schemas.openxmlformats.org/spreadsheetml/2006/main" count="65" uniqueCount="34">
  <si>
    <t>Title</t>
  </si>
  <si>
    <t>Recording Code</t>
  </si>
  <si>
    <t>Release Date</t>
  </si>
  <si>
    <t>Type</t>
  </si>
  <si>
    <t>Parental Warning</t>
  </si>
  <si>
    <t>Version</t>
  </si>
  <si>
    <t>Duration</t>
  </si>
  <si>
    <t>Streams</t>
  </si>
  <si>
    <t>Song Sales</t>
  </si>
  <si>
    <t>Ad-Supported</t>
  </si>
  <si>
    <t>Premium</t>
  </si>
  <si>
    <t>Interactive</t>
  </si>
  <si>
    <t>On-Demand</t>
  </si>
  <si>
    <t>Programmed</t>
  </si>
  <si>
    <t>Audio</t>
  </si>
  <si>
    <t>Video</t>
  </si>
  <si>
    <t>Oh Hey</t>
  </si>
  <si>
    <t>QZAKB2166042</t>
  </si>
  <si>
    <t>Unspecified</t>
  </si>
  <si>
    <t>00:03:25.080</t>
  </si>
  <si>
    <t>QZAKB2166811</t>
  </si>
  <si>
    <t>QZAKB2166810</t>
  </si>
  <si>
    <t>handle me</t>
  </si>
  <si>
    <t>USUG12104792</t>
  </si>
  <si>
    <t>00:02:13.509</t>
  </si>
  <si>
    <t>USUMV2103033</t>
  </si>
  <si>
    <t>-</t>
  </si>
  <si>
    <t>i wanna slam my head against the wall</t>
  </si>
  <si>
    <t>USUG12100804</t>
  </si>
  <si>
    <t>00:01:56.550</t>
  </si>
  <si>
    <t>USUMV2100317</t>
  </si>
  <si>
    <t>Percentage</t>
  </si>
  <si>
    <t>ATE</t>
  </si>
  <si>
    <t>USUM72501348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</si>
</sst>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5" formatCode="yyyy\-mm\-dd"/>
    <numFmt numFmtId="167" formatCode="#,##0.000"/>
    <numFmt numFmtId="173" formatCode="&quot;$&quot;#,##0.0000_);[Red]\(&quot;$&quot;#,##0.0000\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165" fontId="0" fillId="0" borderId="0" xfId="0" applyNumberFormat="1"/>
    <xf numFmtId="0" fontId="2" fillId="2" borderId="0" xfId="0" applyFont="1" applyFill="1"/>
    <xf numFmtId="3" fontId="2" fillId="2" borderId="0" xfId="0" applyNumberFormat="1" applyFont="1" applyFill="1"/>
    <xf numFmtId="4" fontId="0" fillId="0" borderId="0" xfId="0" applyNumberFormat="1"/>
    <xf numFmtId="167" fontId="0" fillId="0" borderId="0" xfId="0" applyNumberFormat="1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4" fontId="0" fillId="0" borderId="1" xfId="0" applyNumberFormat="1" applyBorder="1"/>
    <xf numFmtId="9" fontId="0" fillId="0" borderId="0" xfId="0" applyNumberFormat="1"/>
    <xf numFmtId="173" fontId="0" fillId="0" borderId="1" xfId="0" applyNumberFormat="1" applyBorder="1"/>
    <xf numFmtId="44" fontId="0" fillId="0" borderId="0" xfId="1" applyFont="1"/>
    <xf numFmtId="44" fontId="0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topLeftCell="C1" workbookViewId="0">
      <selection activeCell="D25" sqref="D25"/>
    </sheetView>
  </sheetViews>
  <sheetFormatPr baseColWidth="10" defaultRowHeight="16" x14ac:dyDescent="0.2"/>
  <cols>
    <col min="1" max="1" width="21.6640625" customWidth="1"/>
    <col min="2" max="2" width="13.33203125" customWidth="1"/>
    <col min="3" max="20" width="15.83203125" customWidth="1"/>
  </cols>
  <sheetData>
    <row r="1" spans="1:1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9</v>
      </c>
      <c r="J1" s="4" t="s">
        <v>10</v>
      </c>
      <c r="K1" s="4" t="s">
        <v>31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3" t="s">
        <v>8</v>
      </c>
    </row>
    <row r="2" spans="1:19" x14ac:dyDescent="0.2">
      <c r="A2" t="s">
        <v>16</v>
      </c>
      <c r="B2" t="s">
        <v>17</v>
      </c>
      <c r="C2" s="2">
        <v>44705</v>
      </c>
      <c r="D2" t="s">
        <v>14</v>
      </c>
      <c r="E2" t="s">
        <v>18</v>
      </c>
      <c r="F2" t="s">
        <v>18</v>
      </c>
      <c r="G2" t="s">
        <v>19</v>
      </c>
      <c r="H2" s="1">
        <v>7646512</v>
      </c>
      <c r="I2" s="1">
        <v>1691830</v>
      </c>
      <c r="J2" s="1">
        <v>59546892</v>
      </c>
      <c r="K2" s="6">
        <v>0.125</v>
      </c>
      <c r="L2" s="1">
        <f>K2*I2</f>
        <v>211478.75</v>
      </c>
      <c r="M2" s="1">
        <f>K2*J2</f>
        <v>7443361.5</v>
      </c>
      <c r="N2" s="1">
        <v>0</v>
      </c>
      <c r="O2" s="1">
        <v>7631578</v>
      </c>
      <c r="P2" s="1">
        <v>14934</v>
      </c>
      <c r="Q2" s="1">
        <v>7602005</v>
      </c>
      <c r="R2" s="1">
        <v>44507</v>
      </c>
      <c r="S2">
        <v>126</v>
      </c>
    </row>
    <row r="3" spans="1:19" x14ac:dyDescent="0.2">
      <c r="A3" t="s">
        <v>16</v>
      </c>
      <c r="B3" t="s">
        <v>20</v>
      </c>
      <c r="C3" s="2">
        <v>44708</v>
      </c>
      <c r="D3" t="s">
        <v>14</v>
      </c>
      <c r="E3" t="s">
        <v>18</v>
      </c>
      <c r="F3" t="s">
        <v>18</v>
      </c>
      <c r="G3" t="s">
        <v>19</v>
      </c>
      <c r="H3" s="1">
        <v>229486</v>
      </c>
      <c r="I3" s="1">
        <v>33591</v>
      </c>
      <c r="J3" s="1">
        <v>195895</v>
      </c>
      <c r="K3" s="6">
        <v>0.125</v>
      </c>
      <c r="L3" s="1">
        <f t="shared" ref="L3:L9" si="0">K3*I3</f>
        <v>4198.875</v>
      </c>
      <c r="M3" s="1">
        <f t="shared" ref="M3:M9" si="1">K3*J3</f>
        <v>24486.875</v>
      </c>
      <c r="N3" s="1">
        <v>0</v>
      </c>
      <c r="O3" s="1">
        <v>228846</v>
      </c>
      <c r="P3" s="1">
        <v>640</v>
      </c>
      <c r="Q3" s="1">
        <v>225940</v>
      </c>
      <c r="R3" s="1">
        <v>3546</v>
      </c>
      <c r="S3">
        <v>4</v>
      </c>
    </row>
    <row r="4" spans="1:19" x14ac:dyDescent="0.2">
      <c r="A4" t="s">
        <v>16</v>
      </c>
      <c r="B4" t="s">
        <v>21</v>
      </c>
      <c r="C4" t="s">
        <v>18</v>
      </c>
      <c r="D4" t="s">
        <v>14</v>
      </c>
      <c r="E4" t="s">
        <v>18</v>
      </c>
      <c r="F4" t="s">
        <v>18</v>
      </c>
      <c r="G4" t="s">
        <v>19</v>
      </c>
      <c r="H4" s="1">
        <v>0</v>
      </c>
      <c r="I4" s="1">
        <v>0</v>
      </c>
      <c r="J4" s="1">
        <v>0</v>
      </c>
      <c r="K4" s="6">
        <v>0.125</v>
      </c>
      <c r="L4" s="1">
        <f t="shared" si="0"/>
        <v>0</v>
      </c>
      <c r="M4" s="1">
        <f t="shared" si="1"/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>
        <v>0</v>
      </c>
    </row>
    <row r="5" spans="1:19" x14ac:dyDescent="0.2">
      <c r="A5" t="s">
        <v>22</v>
      </c>
      <c r="B5" t="s">
        <v>23</v>
      </c>
      <c r="C5" s="2">
        <v>44475</v>
      </c>
      <c r="D5" t="s">
        <v>14</v>
      </c>
      <c r="E5" t="s">
        <v>18</v>
      </c>
      <c r="F5" t="s">
        <v>18</v>
      </c>
      <c r="G5" t="s">
        <v>24</v>
      </c>
      <c r="H5" s="1">
        <v>7977067</v>
      </c>
      <c r="I5" s="1">
        <v>2654859</v>
      </c>
      <c r="J5" s="1">
        <v>8463071</v>
      </c>
      <c r="K5" s="5">
        <v>0.1</v>
      </c>
      <c r="L5" s="1">
        <f t="shared" si="0"/>
        <v>265485.90000000002</v>
      </c>
      <c r="M5" s="1">
        <f t="shared" si="1"/>
        <v>846307.10000000009</v>
      </c>
      <c r="N5" s="1">
        <v>0</v>
      </c>
      <c r="O5" s="1">
        <v>7957082</v>
      </c>
      <c r="P5" s="1">
        <v>19985</v>
      </c>
      <c r="Q5" s="1">
        <v>7677740</v>
      </c>
      <c r="R5" s="1">
        <v>299327</v>
      </c>
      <c r="S5">
        <v>31</v>
      </c>
    </row>
    <row r="6" spans="1:19" x14ac:dyDescent="0.2">
      <c r="A6" t="s">
        <v>22</v>
      </c>
      <c r="B6" t="s">
        <v>25</v>
      </c>
      <c r="C6" s="2">
        <v>44475</v>
      </c>
      <c r="D6" t="s">
        <v>26</v>
      </c>
      <c r="E6" t="s">
        <v>18</v>
      </c>
      <c r="F6" t="s">
        <v>18</v>
      </c>
      <c r="G6" t="s">
        <v>26</v>
      </c>
      <c r="H6" s="1">
        <v>2</v>
      </c>
      <c r="I6" s="1">
        <v>0</v>
      </c>
      <c r="J6" s="1">
        <v>2</v>
      </c>
      <c r="K6" s="5">
        <v>0.1</v>
      </c>
      <c r="L6" s="1">
        <f t="shared" si="0"/>
        <v>0</v>
      </c>
      <c r="M6" s="1">
        <f t="shared" si="1"/>
        <v>0.2</v>
      </c>
      <c r="N6" s="1">
        <v>0</v>
      </c>
      <c r="O6" s="1">
        <v>2</v>
      </c>
      <c r="P6" s="1">
        <v>0</v>
      </c>
      <c r="Q6" s="1">
        <v>0</v>
      </c>
      <c r="R6" s="1">
        <v>2</v>
      </c>
      <c r="S6">
        <v>0</v>
      </c>
    </row>
    <row r="7" spans="1:19" x14ac:dyDescent="0.2">
      <c r="A7" t="s">
        <v>27</v>
      </c>
      <c r="B7" t="s">
        <v>28</v>
      </c>
      <c r="C7" s="2">
        <v>44414</v>
      </c>
      <c r="D7" t="s">
        <v>14</v>
      </c>
      <c r="E7" t="s">
        <v>18</v>
      </c>
      <c r="F7" t="s">
        <v>18</v>
      </c>
      <c r="G7" t="s">
        <v>29</v>
      </c>
      <c r="H7" s="1">
        <v>20621649</v>
      </c>
      <c r="I7" s="1">
        <v>10615602</v>
      </c>
      <c r="J7" s="1">
        <v>24457949</v>
      </c>
      <c r="K7" s="5">
        <v>0.05</v>
      </c>
      <c r="L7" s="1">
        <f t="shared" si="0"/>
        <v>530780.1</v>
      </c>
      <c r="M7" s="1">
        <f t="shared" si="1"/>
        <v>1222897.45</v>
      </c>
      <c r="N7" s="1">
        <v>0</v>
      </c>
      <c r="O7" s="1">
        <v>20605722</v>
      </c>
      <c r="P7" s="1">
        <v>15927</v>
      </c>
      <c r="Q7" s="1">
        <v>19599398</v>
      </c>
      <c r="R7" s="1">
        <v>1022251</v>
      </c>
      <c r="S7">
        <v>103</v>
      </c>
    </row>
    <row r="8" spans="1:19" x14ac:dyDescent="0.2">
      <c r="A8" t="s">
        <v>27</v>
      </c>
      <c r="B8" t="s">
        <v>30</v>
      </c>
      <c r="C8" s="2">
        <v>44272</v>
      </c>
      <c r="D8" t="s">
        <v>15</v>
      </c>
      <c r="E8" t="s">
        <v>18</v>
      </c>
      <c r="F8" t="s">
        <v>18</v>
      </c>
      <c r="G8" t="s">
        <v>26</v>
      </c>
      <c r="H8" s="1">
        <v>4386</v>
      </c>
      <c r="I8" s="1">
        <v>134</v>
      </c>
      <c r="J8" s="1">
        <v>4252</v>
      </c>
      <c r="K8" s="5">
        <v>0.05</v>
      </c>
      <c r="L8" s="1">
        <f t="shared" si="0"/>
        <v>6.7</v>
      </c>
      <c r="M8" s="1">
        <f t="shared" si="1"/>
        <v>212.60000000000002</v>
      </c>
      <c r="N8" s="1">
        <v>0</v>
      </c>
      <c r="O8" s="1">
        <v>4386</v>
      </c>
      <c r="P8" s="1">
        <v>0</v>
      </c>
      <c r="Q8" s="1">
        <v>2326</v>
      </c>
      <c r="R8" s="1">
        <v>2060</v>
      </c>
      <c r="S8">
        <v>0</v>
      </c>
    </row>
    <row r="9" spans="1:19" ht="17" thickBot="1" x14ac:dyDescent="0.25">
      <c r="A9" s="7" t="s">
        <v>32</v>
      </c>
      <c r="B9" s="7" t="s">
        <v>33</v>
      </c>
      <c r="C9" s="8">
        <v>45716</v>
      </c>
      <c r="D9" s="7" t="s">
        <v>14</v>
      </c>
      <c r="E9" s="7"/>
      <c r="F9" s="7"/>
      <c r="G9" s="7"/>
      <c r="H9" s="7"/>
      <c r="I9" s="9"/>
      <c r="J9" s="9">
        <v>650000</v>
      </c>
      <c r="K9" s="10">
        <v>0.115</v>
      </c>
      <c r="L9" s="9">
        <f t="shared" si="0"/>
        <v>0</v>
      </c>
      <c r="M9" s="9">
        <f t="shared" si="1"/>
        <v>74750</v>
      </c>
    </row>
    <row r="10" spans="1:19" ht="17" thickTop="1" x14ac:dyDescent="0.2">
      <c r="L10" s="1">
        <f>SUM(L2:L9)</f>
        <v>1011950.325</v>
      </c>
      <c r="M10" s="1">
        <f>SUM(M2:M9)</f>
        <v>9612015.7249999996</v>
      </c>
    </row>
    <row r="11" spans="1:19" ht="17" thickBot="1" x14ac:dyDescent="0.25">
      <c r="K11" s="12">
        <v>1.1999999999999999E-3</v>
      </c>
      <c r="L11" s="14">
        <f>L10*0.0012</f>
        <v>1214.3403899999998</v>
      </c>
      <c r="M11" s="14">
        <f>M10*0.0012</f>
        <v>11534.418869999998</v>
      </c>
    </row>
    <row r="12" spans="1:19" ht="17" thickTop="1" x14ac:dyDescent="0.2">
      <c r="K12" s="11">
        <v>0.2</v>
      </c>
      <c r="L12" s="13">
        <f>L11*K12</f>
        <v>242.86807799999997</v>
      </c>
      <c r="M12" s="13">
        <f>M11*K12</f>
        <v>2306.8837739999994</v>
      </c>
    </row>
    <row r="13" spans="1:19" x14ac:dyDescent="0.2">
      <c r="K13" s="11">
        <v>0.4</v>
      </c>
      <c r="L13" s="13">
        <f>L11*K13</f>
        <v>485.73615599999994</v>
      </c>
      <c r="M13" s="13">
        <f>M11*K13</f>
        <v>4613.7675479999989</v>
      </c>
    </row>
  </sheetData>
  <pageMargins left="0.7" right="0.7" top="0.75" bottom="0.75" header="0.3" footer="0.3"/>
  <ignoredErrors>
    <ignoredError sqref="N2:T4 N1:T1 I1:J1 A3:J4 A2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Related Recordings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Corn</cp:lastModifiedBy>
  <dcterms:created xsi:type="dcterms:W3CDTF">2025-06-13T15:20:07Z</dcterms:created>
  <dcterms:modified xsi:type="dcterms:W3CDTF">2025-06-13T15:20:07Z</dcterms:modified>
</cp:coreProperties>
</file>